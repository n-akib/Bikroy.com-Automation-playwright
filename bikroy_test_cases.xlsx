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Data" sheetId="2" state="visible" r:id="rId4"/>
    <sheet name="Summary" sheetId="3" state="visible" r:id="rId5"/>
  </sheets>
  <definedNames>
    <definedName function="false" hidden="true" localSheetId="0" name="_xlnm._FilterDatabase" vbProcedure="false">'Test Cases'!$A$4:$K$17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<sst xmlns="http://schemas.openxmlformats.org/spreadsheetml/2006/main" count="321" uniqueCount="214">
  <si>
    <t xml:space="preserve">Bikroy.com - Playwright POM Automation: Test Cases (Home, Search, Filter, Navigation, Footer)</t>
  </si>
  <si>
    <t xml:space="preserve">Scope: ad details and auth modules intentionally excluded.  Data Status: Observed = seen on bikroy.com homepage; Assumption = guessed, must be verified against the live site with `npx playwright codegen https://bikroy.com`.</t>
  </si>
  <si>
    <t xml:space="preserve">TC ID</t>
  </si>
  <si>
    <t xml:space="preserve">Module</t>
  </si>
  <si>
    <t xml:space="preserve">Test Title</t>
  </si>
  <si>
    <t xml:space="preserve">Priority</t>
  </si>
  <si>
    <t xml:space="preserve">Type</t>
  </si>
  <si>
    <t xml:space="preserve">Page Object</t>
  </si>
  <si>
    <t xml:space="preserve">Test Data</t>
  </si>
  <si>
    <t xml:space="preserve">Steps</t>
  </si>
  <si>
    <t xml:space="preserve">Expected Result</t>
  </si>
  <si>
    <t xml:space="preserve">Data Status</t>
  </si>
  <si>
    <t xml:space="preserve">Assumption Note</t>
  </si>
  <si>
    <t xml:space="preserve">TC-HOME-01</t>
  </si>
  <si>
    <t xml:space="preserve">Homepage</t>
  </si>
  <si>
    <t xml:space="preserve">Homepage loads with core elements</t>
  </si>
  <si>
    <t xml:space="preserve">High</t>
  </si>
  <si>
    <t xml:space="preserve">Smoke</t>
  </si>
  <si>
    <t xml:space="preserve">HomePage</t>
  </si>
  <si>
    <t xml:space="preserve">URL: https://bikroy.com
Expected title text: bikroy.com</t>
  </si>
  <si>
    <t xml:space="preserve">1. Open https://bikroy.com
2. Wait for page load</t>
  </si>
  <si>
    <t xml:space="preserve">Page title contains 'bikroy.com'; logo, search input, location selector and 'Sell' / 'Post ad' button are visible.</t>
  </si>
  <si>
    <t xml:space="preserve">Observed</t>
  </si>
  <si>
    <t xml:space="preserve">Title and elements seen on homepage. Exact roles/locators to be confirmed via codegen.</t>
  </si>
  <si>
    <t xml:space="preserve">TC-HOME-02</t>
  </si>
  <si>
    <t xml:space="preserve">All main categories are displayed</t>
  </si>
  <si>
    <t xml:space="preserve">Functional</t>
  </si>
  <si>
    <t xml:space="preserve">Expected count: 17
Names: see 'Test Data' sheet, Categories table</t>
  </si>
  <si>
    <t xml:space="preserve">1. Open homepage
2. Read the category list</t>
  </si>
  <si>
    <t xml:space="preserve">17 categories are shown and their names match the expected list.</t>
  </si>
  <si>
    <t xml:space="preserve">Count may change if Bikroy edits its taxonomy.</t>
  </si>
  <si>
    <t xml:space="preserve">TC-HOME-03</t>
  </si>
  <si>
    <t xml:space="preserve">Category navigation (data-driven)</t>
  </si>
  <si>
    <t xml:space="preserve">HomePage, CategoryPage</t>
  </si>
  <si>
    <t xml:space="preserve">Vehicles -&gt; /vehicles
Property -&gt; /real-estate
Phones &amp; Tablets -&gt; /mobile-phones-tablets
Electronics -&gt; /electronics
Jobs -&gt; /jobs</t>
  </si>
  <si>
    <t xml:space="preserve">1. Open homepage
2. Click category &lt;name&gt;
3. Repeat for each data row</t>
  </si>
  <si>
    <t xml:space="preserve">URL contains the expected path and the category page heading/breadcrumb shows the category name.</t>
  </si>
  <si>
    <t xml:space="preserve">URL paths seen in homepage links. Heading text on the category page is not verified.</t>
  </si>
  <si>
    <t xml:space="preserve">TC-HOME-04</t>
  </si>
  <si>
    <t xml:space="preserve">Trending ads section loads</t>
  </si>
  <si>
    <t xml:space="preserve">Medium</t>
  </si>
  <si>
    <t xml:space="preserve">Min cards: 1
Price pattern: /BDT\s[\d,]+/</t>
  </si>
  <si>
    <t xml:space="preserve">1. Open homepage
2. Scroll to 'Trending ads'
3. Read the ad cards</t>
  </si>
  <si>
    <t xml:space="preserve">At least 1 ad card is shown; each card has a title, a price matching the pattern and a location.</t>
  </si>
  <si>
    <t xml:space="preserve">Ad content changes constantly: assert structure, never hardcode titles or prices. Prices use Indian-style commas (e.g. 1,55,500).</t>
  </si>
  <si>
    <t xml:space="preserve">TC-HOME-05</t>
  </si>
  <si>
    <t xml:space="preserve">Language switch EN to BN</t>
  </si>
  <si>
    <t xml:space="preserve">From: EN
To: Bangla (BN)</t>
  </si>
  <si>
    <t xml:space="preserve">1. Open homepage
2. Click language toggle ('EN')
3. Choose Bangla</t>
  </si>
  <si>
    <t xml:space="preserve">Page text switches to Bangla (e.g. search placeholder or category labels change) and &lt;html lang&gt; is 'bn'.</t>
  </si>
  <si>
    <t xml:space="preserve">Assumption</t>
  </si>
  <si>
    <t xml:space="preserve">Toggle is labelled 'EN' and a 'bn' locale exists (observed), but the dropdown behaviour and the html lang value are assumed.</t>
  </si>
  <si>
    <t xml:space="preserve">TC-SRCH-01</t>
  </si>
  <si>
    <t xml:space="preserve">Search</t>
  </si>
  <si>
    <t xml:space="preserve">Search by keyword returns relevant results</t>
  </si>
  <si>
    <t xml:space="preserve">HomePage, SearchResultsPage</t>
  </si>
  <si>
    <t xml:space="preserve">Keyword: iPhone</t>
  </si>
  <si>
    <t xml:space="preserve">1. Open homepage
2. Type keyword in search box
3. Submit (Enter or search button)</t>
  </si>
  <si>
    <t xml:space="preserve">Results page opens; URL or query reflects the keyword; at least 1 result; most result titles contain 'iPhone'.</t>
  </si>
  <si>
    <t xml:space="preserve">Keyword is my choice (phones are a heavily listed category). Result URL format unverified.</t>
  </si>
  <si>
    <t xml:space="preserve">TC-SRCH-02</t>
  </si>
  <si>
    <t xml:space="preserve">Search with no matching results</t>
  </si>
  <si>
    <t xml:space="preserve">Negative</t>
  </si>
  <si>
    <t xml:space="preserve">Keyword: zzqxjkw123
Expected message: 'no results' type text (exact wording TBD)</t>
  </si>
  <si>
    <t xml:space="preserve">1. Open homepage
2. Search for the nonsense keyword</t>
  </si>
  <si>
    <t xml:space="preserve">No ad cards matching the keyword are listed; a clear empty-state message (or an equivalent appropriate result) is displayed.</t>
  </si>
  <si>
    <t xml:space="preserve">Keyword is invented. Empty-state wording is unknown; assert on a locator or regex after checking the live site.</t>
  </si>
  <si>
    <t xml:space="preserve">TC-SRCH-03</t>
  </si>
  <si>
    <t xml:space="preserve">Select location to scope results</t>
  </si>
  <si>
    <t xml:space="preserve">Location: Dhaka</t>
  </si>
  <si>
    <t xml:space="preserve">1. Open homepage
2. Open location selector (default 'All Bangladesh')
3. Choose 'Dhaka'
4. Search or browse</t>
  </si>
  <si>
    <t xml:space="preserve">Location label shows 'Dhaka' and listed ads belong to Dhaka areas.</t>
  </si>
  <si>
    <t xml:space="preserve">Mixed</t>
  </si>
  <si>
    <t xml:space="preserve">Default 'All Bangladesh' is observed; the selector flow and the Dhaka option are assumed.</t>
  </si>
  <si>
    <t xml:space="preserve">TC-FLT-01</t>
  </si>
  <si>
    <t xml:space="preserve">Filter</t>
  </si>
  <si>
    <t xml:space="preserve">Condition filter on Phones &amp; Tablets</t>
  </si>
  <si>
    <t xml:space="preserve">CategoryPage</t>
  </si>
  <si>
    <t xml:space="preserve">Category: Phones &amp; Tablets
Condition: Used</t>
  </si>
  <si>
    <t xml:space="preserve">1. Open /mobile-phones-tablets
2. Apply condition filter 'Used'
3. Read the cards</t>
  </si>
  <si>
    <t xml:space="preserve">Every visible card carries the 'Used' tag.</t>
  </si>
  <si>
    <t xml:space="preserve">Condition tags (Used, Brand New, Refurbished) are seen on cards; the filter control itself is assumed.</t>
  </si>
  <si>
    <t xml:space="preserve">TC-FLT-02</t>
  </si>
  <si>
    <t xml:space="preserve">Price range filter</t>
  </si>
  <si>
    <t xml:space="preserve">Category: Phones &amp; Tablets
Min: 10000 BDT
Max: 20000 BDT</t>
  </si>
  <si>
    <t xml:space="preserve">1. Open /mobile-phones-tablets
2. Enter min and max price and apply
3. Parse prices from the cards (strip 'BDT' and commas)</t>
  </si>
  <si>
    <t xml:space="preserve">Every visible card price is within 10,000 to 20,000 BDT.</t>
  </si>
  <si>
    <t xml:space="preserve">Price range inputs were not visible on the homepage; control names and range values are assumed. Verify with codegen.</t>
  </si>
  <si>
    <t xml:space="preserve">TC-FLT-03</t>
  </si>
  <si>
    <t xml:space="preserve">Sort results</t>
  </si>
  <si>
    <t xml:space="preserve">Category: Phones &amp; Tablets
Sort option: price, low to high</t>
  </si>
  <si>
    <t xml:space="preserve">1. Open /mobile-phones-tablets
2. Choose the sort option
3. Parse prices from the cards</t>
  </si>
  <si>
    <t xml:space="preserve">Card prices are in ascending order after the results update.</t>
  </si>
  <si>
    <t xml:space="preserve">Sort option labels are unknown. Promoted (VIP) ads may be pinned at the top: compare only non-promoted cards or skip them.</t>
  </si>
  <si>
    <t xml:space="preserve">TC-NAV-01</t>
  </si>
  <si>
    <t xml:space="preserve">Navigation</t>
  </si>
  <si>
    <t xml:space="preserve">Browser back restores the previous page</t>
  </si>
  <si>
    <t xml:space="preserve">Category: Phones &amp; Tablets -&gt; /mobile-phones-tablets
Return URL: https://bikroy.com/</t>
  </si>
  <si>
    <t xml:space="preserve">1. Open homepage
2. Click 'Phones &amp; Tablets'
3. Go back in browser history</t>
  </si>
  <si>
    <t xml:space="preserve">URL returns to the homepage and the category list is visible again.</t>
  </si>
  <si>
    <t xml:space="preserve">Category URL seen on the homepage. Adapted from the notes template's 'navigate back' scenario without opening an ad.</t>
  </si>
  <si>
    <t xml:space="preserve">TC-FOOT-01</t>
  </si>
  <si>
    <t xml:space="preserve">Footer</t>
  </si>
  <si>
    <t xml:space="preserve">Footer links open correct pages (data-driven)</t>
  </si>
  <si>
    <t xml:space="preserve">Low</t>
  </si>
  <si>
    <t xml:space="preserve">FooterPage</t>
  </si>
  <si>
    <t xml:space="preserve">About -&gt; /about.html
Terms -&gt; /rules.html
Safety Tips -&gt; /safety-tips.html
FAQ -&gt; /faq
Privacy -&gt; /privacy.html
Contact Us -&gt; /jiji-pages/contact-us</t>
  </si>
  <si>
    <t xml:space="preserve">1. Open homepage
2. Click footer link &lt;name&gt;
3. Repeat for each data row</t>
  </si>
  <si>
    <t xml:space="preserve">Each link navigates to its expected URL with HTTP 200 and the page shows a heading.</t>
  </si>
  <si>
    <t xml:space="preserve">URLs seen in the footer. Expected heading text is not verified; assert that a visible h1/h2 exists.</t>
  </si>
  <si>
    <t xml:space="preserve">Test Data (used by data-driven tests)</t>
  </si>
  <si>
    <t xml:space="preserve">Categories (TC-HOME-02, TC-HOME-03)</t>
  </si>
  <si>
    <t xml:space="preserve">#</t>
  </si>
  <si>
    <t xml:space="preserve">Category</t>
  </si>
  <si>
    <t xml:space="preserve">URL path</t>
  </si>
  <si>
    <t xml:space="preserve">Vehicles</t>
  </si>
  <si>
    <t xml:space="preserve">/vehicles</t>
  </si>
  <si>
    <t xml:space="preserve">Property</t>
  </si>
  <si>
    <t xml:space="preserve">/real-estate</t>
  </si>
  <si>
    <t xml:space="preserve">Phones &amp; Tablets</t>
  </si>
  <si>
    <t xml:space="preserve">/mobile-phones-tablets</t>
  </si>
  <si>
    <t xml:space="preserve">Electronics</t>
  </si>
  <si>
    <t xml:space="preserve">/electronics</t>
  </si>
  <si>
    <t xml:space="preserve">Home, Furniture &amp; Appliances</t>
  </si>
  <si>
    <t xml:space="preserve">/home-garden</t>
  </si>
  <si>
    <t xml:space="preserve">Fashion</t>
  </si>
  <si>
    <t xml:space="preserve">/fashion-and-beauty</t>
  </si>
  <si>
    <t xml:space="preserve">Beauty &amp; Personal Care</t>
  </si>
  <si>
    <t xml:space="preserve">/health-and-beauty</t>
  </si>
  <si>
    <t xml:space="preserve">Services</t>
  </si>
  <si>
    <t xml:space="preserve">/services</t>
  </si>
  <si>
    <t xml:space="preserve">Repair &amp; Construction</t>
  </si>
  <si>
    <t xml:space="preserve">/repair-and-construction</t>
  </si>
  <si>
    <t xml:space="preserve">Commercial Equipment &amp; Tools</t>
  </si>
  <si>
    <t xml:space="preserve">/office-and-commercial-equipment-tools</t>
  </si>
  <si>
    <t xml:space="preserve">Leisure &amp; Activities</t>
  </si>
  <si>
    <t xml:space="preserve">/hobbies-art-sport</t>
  </si>
  <si>
    <t xml:space="preserve">Babies &amp; Kids</t>
  </si>
  <si>
    <t xml:space="preserve">/babies-and-kids</t>
  </si>
  <si>
    <t xml:space="preserve">Food, Agriculture &amp; Farming</t>
  </si>
  <si>
    <t xml:space="preserve">/agriculture-and-foodstuff</t>
  </si>
  <si>
    <t xml:space="preserve">Animals &amp; Pets</t>
  </si>
  <si>
    <t xml:space="preserve">/animals-and-pets</t>
  </si>
  <si>
    <t xml:space="preserve">Jobs</t>
  </si>
  <si>
    <t xml:space="preserve">/jobs</t>
  </si>
  <si>
    <t xml:space="preserve">Seeking Work - CVs</t>
  </si>
  <si>
    <t xml:space="preserve">/seeking-work-cvs</t>
  </si>
  <si>
    <t xml:space="preserve">Business &amp; Industry</t>
  </si>
  <si>
    <t xml:space="preserve">/business-and-industry</t>
  </si>
  <si>
    <t xml:space="preserve">Search data (TC-SRCH-01, TC-SRCH-02, TC-SRCH-03)</t>
  </si>
  <si>
    <t xml:space="preserve">Case</t>
  </si>
  <si>
    <t xml:space="preserve">Value</t>
  </si>
  <si>
    <t xml:space="preserve">Purpose</t>
  </si>
  <si>
    <t xml:space="preserve">Valid keyword</t>
  </si>
  <si>
    <t xml:space="preserve">iPhone</t>
  </si>
  <si>
    <t xml:space="preserve">Expect relevant results</t>
  </si>
  <si>
    <t xml:space="preserve">Nonsense keyword</t>
  </si>
  <si>
    <t xml:space="preserve">zzqxjkw123</t>
  </si>
  <si>
    <t xml:space="preserve">Expect empty state</t>
  </si>
  <si>
    <t xml:space="preserve">Location</t>
  </si>
  <si>
    <t xml:space="preserve">Dhaka</t>
  </si>
  <si>
    <t xml:space="preserve">Scope results by location</t>
  </si>
  <si>
    <t xml:space="preserve">Default location</t>
  </si>
  <si>
    <t xml:space="preserve">All Bangladesh</t>
  </si>
  <si>
    <t xml:space="preserve">Initial selector label</t>
  </si>
  <si>
    <t xml:space="preserve">Filter data (TC-FLT-01, TC-FLT-02)</t>
  </si>
  <si>
    <t xml:space="preserve">Condition</t>
  </si>
  <si>
    <t xml:space="preserve">Used</t>
  </si>
  <si>
    <t xml:space="preserve">Cards show 'Used' tag</t>
  </si>
  <si>
    <t xml:space="preserve">Other condition tags</t>
  </si>
  <si>
    <t xml:space="preserve">Brand New, Refurbished</t>
  </si>
  <si>
    <t xml:space="preserve">Seen on cards, available for extra cases</t>
  </si>
  <si>
    <t xml:space="preserve">Price min (BDT)</t>
  </si>
  <si>
    <t xml:space="preserve">Range filter lower bound</t>
  </si>
  <si>
    <t xml:space="preserve">Price max (BDT)</t>
  </si>
  <si>
    <t xml:space="preserve">Range filter upper bound</t>
  </si>
  <si>
    <t xml:space="preserve">Sort option</t>
  </si>
  <si>
    <t xml:space="preserve">Price: low to high</t>
  </si>
  <si>
    <t xml:space="preserve">Order check (label unverified)</t>
  </si>
  <si>
    <t xml:space="preserve">Price regex</t>
  </si>
  <si>
    <t xml:space="preserve">BDT\s[\d,]+</t>
  </si>
  <si>
    <t xml:space="preserve">Validate price text on cards</t>
  </si>
  <si>
    <t xml:space="preserve">Navigation data (TC-NAV-01)</t>
  </si>
  <si>
    <t xml:space="preserve">Page to open, then go back</t>
  </si>
  <si>
    <t xml:space="preserve">Category URL</t>
  </si>
  <si>
    <t xml:space="preserve">Expected URL after click</t>
  </si>
  <si>
    <t xml:space="preserve">Return URL</t>
  </si>
  <si>
    <t xml:space="preserve">https://bikroy.com/</t>
  </si>
  <si>
    <t xml:space="preserve">Expected URL after going back</t>
  </si>
  <si>
    <t xml:space="preserve">Footer links (TC-FOOT-01)</t>
  </si>
  <si>
    <t xml:space="preserve">Link text</t>
  </si>
  <si>
    <t xml:space="preserve">Expected</t>
  </si>
  <si>
    <t xml:space="preserve">About Bikroy</t>
  </si>
  <si>
    <t xml:space="preserve">/about.html</t>
  </si>
  <si>
    <t xml:space="preserve">200 + visible heading</t>
  </si>
  <si>
    <t xml:space="preserve">Terms &amp; Conditions</t>
  </si>
  <si>
    <t xml:space="preserve">/rules.html</t>
  </si>
  <si>
    <t xml:space="preserve">Bikroy Tips</t>
  </si>
  <si>
    <t xml:space="preserve">/safety-tips.html</t>
  </si>
  <si>
    <t xml:space="preserve">FAQ</t>
  </si>
  <si>
    <t xml:space="preserve">/faq</t>
  </si>
  <si>
    <t xml:space="preserve">Privacy Policy</t>
  </si>
  <si>
    <t xml:space="preserve">/privacy.html</t>
  </si>
  <si>
    <t xml:space="preserve">Contact Us</t>
  </si>
  <si>
    <t xml:space="preserve">/jiji-pages/contact-us</t>
  </si>
  <si>
    <t xml:space="preserve">Summary</t>
  </si>
  <si>
    <t xml:space="preserve">Total test cases</t>
  </si>
  <si>
    <t xml:space="preserve">Data Status: Observed</t>
  </si>
  <si>
    <t xml:space="preserve">Data Status: Mixed</t>
  </si>
  <si>
    <t xml:space="preserve">Data Status: Assumption</t>
  </si>
  <si>
    <t xml:space="preserve">High priority</t>
  </si>
  <si>
    <t xml:space="preserve">Medium priority</t>
  </si>
  <si>
    <t xml:space="preserve">Low priority</t>
  </si>
  <si>
    <t xml:space="preserve">Out of scope: ad details page and auth (login) module. Status snapshot: designed, not yet executed.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</si>
</sst>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42"/>
    <col collapsed="false" customWidth="true" hidden="false" outlineLevel="0" max="10" min="10" style="0" width="12"/>
    <col collapsed="false" customWidth="true" hidden="false" outlineLevel="0" max="11" min="11" style="0" width="4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0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5" t="s">
        <v>22</v>
      </c>
      <c r="K5" s="4" t="s">
        <v>23</v>
      </c>
    </row>
    <row r="6" customFormat="false" ht="105" hidden="false" customHeight="true" outlineLevel="0" collapsed="false">
      <c r="A6" s="4" t="s">
        <v>24</v>
      </c>
      <c r="B6" s="4" t="s">
        <v>14</v>
      </c>
      <c r="C6" s="4" t="s">
        <v>25</v>
      </c>
      <c r="D6" s="4" t="s">
        <v>16</v>
      </c>
      <c r="E6" s="4" t="s">
        <v>26</v>
      </c>
      <c r="F6" s="4" t="s">
        <v>18</v>
      </c>
      <c r="G6" s="4" t="s">
        <v>27</v>
      </c>
      <c r="H6" s="4" t="s">
        <v>28</v>
      </c>
      <c r="I6" s="4" t="s">
        <v>29</v>
      </c>
      <c r="J6" s="5" t="s">
        <v>22</v>
      </c>
      <c r="K6" s="4" t="s">
        <v>30</v>
      </c>
    </row>
    <row r="7" customFormat="false" ht="105" hidden="false" customHeight="true" outlineLevel="0" collapsed="false">
      <c r="A7" s="4" t="s">
        <v>31</v>
      </c>
      <c r="B7" s="4" t="s">
        <v>14</v>
      </c>
      <c r="C7" s="4" t="s">
        <v>32</v>
      </c>
      <c r="D7" s="4" t="s">
        <v>16</v>
      </c>
      <c r="E7" s="4" t="s">
        <v>26</v>
      </c>
      <c r="F7" s="4" t="s">
        <v>33</v>
      </c>
      <c r="G7" s="4" t="s">
        <v>34</v>
      </c>
      <c r="H7" s="4" t="s">
        <v>35</v>
      </c>
      <c r="I7" s="4" t="s">
        <v>36</v>
      </c>
      <c r="J7" s="5" t="s">
        <v>22</v>
      </c>
      <c r="K7" s="4" t="s">
        <v>37</v>
      </c>
    </row>
    <row r="8" customFormat="false" ht="105" hidden="false" customHeight="true" outlineLevel="0" collapsed="false">
      <c r="A8" s="4" t="s">
        <v>38</v>
      </c>
      <c r="B8" s="4" t="s">
        <v>14</v>
      </c>
      <c r="C8" s="4" t="s">
        <v>39</v>
      </c>
      <c r="D8" s="4" t="s">
        <v>40</v>
      </c>
      <c r="E8" s="4" t="s">
        <v>26</v>
      </c>
      <c r="F8" s="4" t="s">
        <v>18</v>
      </c>
      <c r="G8" s="4" t="s">
        <v>41</v>
      </c>
      <c r="H8" s="4" t="s">
        <v>42</v>
      </c>
      <c r="I8" s="4" t="s">
        <v>43</v>
      </c>
      <c r="J8" s="5" t="s">
        <v>22</v>
      </c>
      <c r="K8" s="4" t="s">
        <v>44</v>
      </c>
    </row>
    <row r="9" customFormat="false" ht="105" hidden="false" customHeight="true" outlineLevel="0" collapsed="false">
      <c r="A9" s="4" t="s">
        <v>45</v>
      </c>
      <c r="B9" s="4" t="s">
        <v>14</v>
      </c>
      <c r="C9" s="4" t="s">
        <v>46</v>
      </c>
      <c r="D9" s="4" t="s">
        <v>40</v>
      </c>
      <c r="E9" s="4" t="s">
        <v>26</v>
      </c>
      <c r="F9" s="4" t="s">
        <v>18</v>
      </c>
      <c r="G9" s="4" t="s">
        <v>47</v>
      </c>
      <c r="H9" s="4" t="s">
        <v>48</v>
      </c>
      <c r="I9" s="4" t="s">
        <v>49</v>
      </c>
      <c r="J9" s="6" t="s">
        <v>50</v>
      </c>
      <c r="K9" s="4" t="s">
        <v>51</v>
      </c>
    </row>
    <row r="10" customFormat="false" ht="105" hidden="false" customHeight="true" outlineLevel="0" collapsed="false">
      <c r="A10" s="4" t="s">
        <v>52</v>
      </c>
      <c r="B10" s="4" t="s">
        <v>53</v>
      </c>
      <c r="C10" s="4" t="s">
        <v>54</v>
      </c>
      <c r="D10" s="4" t="s">
        <v>16</v>
      </c>
      <c r="E10" s="4" t="s">
        <v>26</v>
      </c>
      <c r="F10" s="4" t="s">
        <v>55</v>
      </c>
      <c r="G10" s="4" t="s">
        <v>56</v>
      </c>
      <c r="H10" s="4" t="s">
        <v>57</v>
      </c>
      <c r="I10" s="4" t="s">
        <v>58</v>
      </c>
      <c r="J10" s="6" t="s">
        <v>50</v>
      </c>
      <c r="K10" s="4" t="s">
        <v>59</v>
      </c>
    </row>
    <row r="11" customFormat="false" ht="105" hidden="false" customHeight="true" outlineLevel="0" collapsed="false">
      <c r="A11" s="4" t="s">
        <v>60</v>
      </c>
      <c r="B11" s="4" t="s">
        <v>53</v>
      </c>
      <c r="C11" s="4" t="s">
        <v>61</v>
      </c>
      <c r="D11" s="4" t="s">
        <v>40</v>
      </c>
      <c r="E11" s="4" t="s">
        <v>62</v>
      </c>
      <c r="F11" s="4" t="s">
        <v>55</v>
      </c>
      <c r="G11" s="4" t="s">
        <v>63</v>
      </c>
      <c r="H11" s="4" t="s">
        <v>64</v>
      </c>
      <c r="I11" s="4" t="s">
        <v>65</v>
      </c>
      <c r="J11" s="6" t="s">
        <v>50</v>
      </c>
      <c r="K11" s="4" t="s">
        <v>66</v>
      </c>
    </row>
    <row r="12" customFormat="false" ht="105" hidden="false" customHeight="true" outlineLevel="0" collapsed="false">
      <c r="A12" s="4" t="s">
        <v>67</v>
      </c>
      <c r="B12" s="4" t="s">
        <v>53</v>
      </c>
      <c r="C12" s="4" t="s">
        <v>68</v>
      </c>
      <c r="D12" s="4" t="s">
        <v>16</v>
      </c>
      <c r="E12" s="4" t="s">
        <v>26</v>
      </c>
      <c r="F12" s="4" t="s">
        <v>55</v>
      </c>
      <c r="G12" s="4" t="s">
        <v>69</v>
      </c>
      <c r="H12" s="4" t="s">
        <v>70</v>
      </c>
      <c r="I12" s="4" t="s">
        <v>71</v>
      </c>
      <c r="J12" s="7" t="s">
        <v>72</v>
      </c>
      <c r="K12" s="4" t="s">
        <v>73</v>
      </c>
    </row>
    <row r="13" customFormat="false" ht="105" hidden="false" customHeight="true" outlineLevel="0" collapsed="false">
      <c r="A13" s="4" t="s">
        <v>74</v>
      </c>
      <c r="B13" s="4" t="s">
        <v>75</v>
      </c>
      <c r="C13" s="4" t="s">
        <v>76</v>
      </c>
      <c r="D13" s="4" t="s">
        <v>40</v>
      </c>
      <c r="E13" s="4" t="s">
        <v>26</v>
      </c>
      <c r="F13" s="4" t="s">
        <v>77</v>
      </c>
      <c r="G13" s="4" t="s">
        <v>78</v>
      </c>
      <c r="H13" s="4" t="s">
        <v>79</v>
      </c>
      <c r="I13" s="4" t="s">
        <v>80</v>
      </c>
      <c r="J13" s="7" t="s">
        <v>72</v>
      </c>
      <c r="K13" s="4" t="s">
        <v>81</v>
      </c>
    </row>
    <row r="14" customFormat="false" ht="105" hidden="false" customHeight="true" outlineLevel="0" collapsed="false">
      <c r="A14" s="4" t="s">
        <v>82</v>
      </c>
      <c r="B14" s="4" t="s">
        <v>75</v>
      </c>
      <c r="C14" s="4" t="s">
        <v>83</v>
      </c>
      <c r="D14" s="4" t="s">
        <v>40</v>
      </c>
      <c r="E14" s="4" t="s">
        <v>26</v>
      </c>
      <c r="F14" s="4" t="s">
        <v>77</v>
      </c>
      <c r="G14" s="4" t="s">
        <v>84</v>
      </c>
      <c r="H14" s="4" t="s">
        <v>85</v>
      </c>
      <c r="I14" s="4" t="s">
        <v>86</v>
      </c>
      <c r="J14" s="6" t="s">
        <v>50</v>
      </c>
      <c r="K14" s="4" t="s">
        <v>87</v>
      </c>
    </row>
    <row r="15" customFormat="false" ht="105" hidden="false" customHeight="true" outlineLevel="0" collapsed="false">
      <c r="A15" s="4" t="s">
        <v>88</v>
      </c>
      <c r="B15" s="4" t="s">
        <v>75</v>
      </c>
      <c r="C15" s="4" t="s">
        <v>89</v>
      </c>
      <c r="D15" s="4" t="s">
        <v>40</v>
      </c>
      <c r="E15" s="4" t="s">
        <v>26</v>
      </c>
      <c r="F15" s="4" t="s">
        <v>77</v>
      </c>
      <c r="G15" s="4" t="s">
        <v>90</v>
      </c>
      <c r="H15" s="4" t="s">
        <v>91</v>
      </c>
      <c r="I15" s="4" t="s">
        <v>92</v>
      </c>
      <c r="J15" s="6" t="s">
        <v>50</v>
      </c>
      <c r="K15" s="4" t="s">
        <v>93</v>
      </c>
    </row>
    <row r="16" customFormat="false" ht="105" hidden="false" customHeight="true" outlineLevel="0" collapsed="false">
      <c r="A16" s="4" t="s">
        <v>94</v>
      </c>
      <c r="B16" s="4" t="s">
        <v>95</v>
      </c>
      <c r="C16" s="4" t="s">
        <v>96</v>
      </c>
      <c r="D16" s="4" t="s">
        <v>40</v>
      </c>
      <c r="E16" s="4" t="s">
        <v>26</v>
      </c>
      <c r="F16" s="4" t="s">
        <v>33</v>
      </c>
      <c r="G16" s="4" t="s">
        <v>97</v>
      </c>
      <c r="H16" s="4" t="s">
        <v>98</v>
      </c>
      <c r="I16" s="4" t="s">
        <v>99</v>
      </c>
      <c r="J16" s="5" t="s">
        <v>22</v>
      </c>
      <c r="K16" s="4" t="s">
        <v>100</v>
      </c>
    </row>
    <row r="17" customFormat="false" ht="105" hidden="false" customHeight="true" outlineLevel="0" collapsed="false">
      <c r="A17" s="4" t="s">
        <v>101</v>
      </c>
      <c r="B17" s="4" t="s">
        <v>102</v>
      </c>
      <c r="C17" s="4" t="s">
        <v>103</v>
      </c>
      <c r="D17" s="4" t="s">
        <v>104</v>
      </c>
      <c r="E17" s="4" t="s">
        <v>26</v>
      </c>
      <c r="F17" s="4" t="s">
        <v>105</v>
      </c>
      <c r="G17" s="4" t="s">
        <v>106</v>
      </c>
      <c r="H17" s="4" t="s">
        <v>107</v>
      </c>
      <c r="I17" s="4" t="s">
        <v>108</v>
      </c>
      <c r="J17" s="5" t="s">
        <v>22</v>
      </c>
      <c r="K17" s="4" t="s">
        <v>109</v>
      </c>
    </row>
  </sheetData>
  <autoFilter ref="A4:K17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8" t="s">
        <v>111</v>
      </c>
    </row>
    <row r="4" customFormat="false" ht="15" hidden="false" customHeight="false" outlineLevel="0" collapsed="false">
      <c r="A4" s="9" t="s">
        <v>112</v>
      </c>
      <c r="B4" s="9" t="s">
        <v>113</v>
      </c>
      <c r="C4" s="9" t="s">
        <v>114</v>
      </c>
      <c r="D4" s="9" t="s">
        <v>11</v>
      </c>
    </row>
    <row r="5" customFormat="false" ht="15" hidden="false" customHeight="false" outlineLevel="0" collapsed="false">
      <c r="A5" s="4" t="n">
        <v>1</v>
      </c>
      <c r="B5" s="4" t="s">
        <v>115</v>
      </c>
      <c r="C5" s="4" t="s">
        <v>116</v>
      </c>
      <c r="D5" s="10" t="s">
        <v>22</v>
      </c>
    </row>
    <row r="6" customFormat="false" ht="15" hidden="false" customHeight="false" outlineLevel="0" collapsed="false">
      <c r="A6" s="4" t="n">
        <v>2</v>
      </c>
      <c r="B6" s="4" t="s">
        <v>117</v>
      </c>
      <c r="C6" s="4" t="s">
        <v>118</v>
      </c>
      <c r="D6" s="10" t="s">
        <v>22</v>
      </c>
    </row>
    <row r="7" customFormat="false" ht="15" hidden="false" customHeight="false" outlineLevel="0" collapsed="false">
      <c r="A7" s="4" t="n">
        <v>3</v>
      </c>
      <c r="B7" s="4" t="s">
        <v>119</v>
      </c>
      <c r="C7" s="4" t="s">
        <v>120</v>
      </c>
      <c r="D7" s="10" t="s">
        <v>22</v>
      </c>
    </row>
    <row r="8" customFormat="false" ht="15" hidden="false" customHeight="false" outlineLevel="0" collapsed="false">
      <c r="A8" s="4" t="n">
        <v>4</v>
      </c>
      <c r="B8" s="4" t="s">
        <v>121</v>
      </c>
      <c r="C8" s="4" t="s">
        <v>122</v>
      </c>
      <c r="D8" s="10" t="s">
        <v>22</v>
      </c>
    </row>
    <row r="9" customFormat="false" ht="15" hidden="false" customHeight="false" outlineLevel="0" collapsed="false">
      <c r="A9" s="4" t="n">
        <v>5</v>
      </c>
      <c r="B9" s="4" t="s">
        <v>123</v>
      </c>
      <c r="C9" s="4" t="s">
        <v>124</v>
      </c>
      <c r="D9" s="10" t="s">
        <v>22</v>
      </c>
    </row>
    <row r="10" customFormat="false" ht="15" hidden="false" customHeight="false" outlineLevel="0" collapsed="false">
      <c r="A10" s="4" t="n">
        <v>6</v>
      </c>
      <c r="B10" s="4" t="s">
        <v>125</v>
      </c>
      <c r="C10" s="4" t="s">
        <v>126</v>
      </c>
      <c r="D10" s="10" t="s">
        <v>22</v>
      </c>
    </row>
    <row r="11" customFormat="false" ht="15" hidden="false" customHeight="false" outlineLevel="0" collapsed="false">
      <c r="A11" s="4" t="n">
        <v>7</v>
      </c>
      <c r="B11" s="4" t="s">
        <v>127</v>
      </c>
      <c r="C11" s="4" t="s">
        <v>128</v>
      </c>
      <c r="D11" s="10" t="s">
        <v>22</v>
      </c>
    </row>
    <row r="12" customFormat="false" ht="15" hidden="false" customHeight="false" outlineLevel="0" collapsed="false">
      <c r="A12" s="4" t="n">
        <v>8</v>
      </c>
      <c r="B12" s="4" t="s">
        <v>129</v>
      </c>
      <c r="C12" s="4" t="s">
        <v>130</v>
      </c>
      <c r="D12" s="10" t="s">
        <v>22</v>
      </c>
    </row>
    <row r="13" customFormat="false" ht="15" hidden="false" customHeight="false" outlineLevel="0" collapsed="false">
      <c r="A13" s="4" t="n">
        <v>9</v>
      </c>
      <c r="B13" s="4" t="s">
        <v>131</v>
      </c>
      <c r="C13" s="4" t="s">
        <v>132</v>
      </c>
      <c r="D13" s="10" t="s">
        <v>22</v>
      </c>
    </row>
    <row r="14" customFormat="false" ht="15" hidden="false" customHeight="false" outlineLevel="0" collapsed="false">
      <c r="A14" s="4" t="n">
        <v>10</v>
      </c>
      <c r="B14" s="4" t="s">
        <v>133</v>
      </c>
      <c r="C14" s="4" t="s">
        <v>134</v>
      </c>
      <c r="D14" s="10" t="s">
        <v>22</v>
      </c>
    </row>
    <row r="15" customFormat="false" ht="15" hidden="false" customHeight="false" outlineLevel="0" collapsed="false">
      <c r="A15" s="4" t="n">
        <v>11</v>
      </c>
      <c r="B15" s="4" t="s">
        <v>135</v>
      </c>
      <c r="C15" s="4" t="s">
        <v>136</v>
      </c>
      <c r="D15" s="10" t="s">
        <v>22</v>
      </c>
    </row>
    <row r="16" customFormat="false" ht="15" hidden="false" customHeight="false" outlineLevel="0" collapsed="false">
      <c r="A16" s="4" t="n">
        <v>12</v>
      </c>
      <c r="B16" s="4" t="s">
        <v>137</v>
      </c>
      <c r="C16" s="4" t="s">
        <v>138</v>
      </c>
      <c r="D16" s="10" t="s">
        <v>22</v>
      </c>
    </row>
    <row r="17" customFormat="false" ht="15" hidden="false" customHeight="false" outlineLevel="0" collapsed="false">
      <c r="A17" s="4" t="n">
        <v>13</v>
      </c>
      <c r="B17" s="4" t="s">
        <v>139</v>
      </c>
      <c r="C17" s="4" t="s">
        <v>140</v>
      </c>
      <c r="D17" s="10" t="s">
        <v>22</v>
      </c>
    </row>
    <row r="18" customFormat="false" ht="15" hidden="false" customHeight="false" outlineLevel="0" collapsed="false">
      <c r="A18" s="4" t="n">
        <v>14</v>
      </c>
      <c r="B18" s="4" t="s">
        <v>141</v>
      </c>
      <c r="C18" s="4" t="s">
        <v>142</v>
      </c>
      <c r="D18" s="10" t="s">
        <v>22</v>
      </c>
    </row>
    <row r="19" customFormat="false" ht="15" hidden="false" customHeight="false" outlineLevel="0" collapsed="false">
      <c r="A19" s="4" t="n">
        <v>15</v>
      </c>
      <c r="B19" s="4" t="s">
        <v>143</v>
      </c>
      <c r="C19" s="4" t="s">
        <v>144</v>
      </c>
      <c r="D19" s="10" t="s">
        <v>22</v>
      </c>
    </row>
    <row r="20" customFormat="false" ht="15" hidden="false" customHeight="false" outlineLevel="0" collapsed="false">
      <c r="A20" s="4" t="n">
        <v>16</v>
      </c>
      <c r="B20" s="4" t="s">
        <v>145</v>
      </c>
      <c r="C20" s="4" t="s">
        <v>146</v>
      </c>
      <c r="D20" s="10" t="s">
        <v>22</v>
      </c>
    </row>
    <row r="21" customFormat="false" ht="15" hidden="false" customHeight="false" outlineLevel="0" collapsed="false">
      <c r="A21" s="4" t="n">
        <v>17</v>
      </c>
      <c r="B21" s="4" t="s">
        <v>147</v>
      </c>
      <c r="C21" s="4" t="s">
        <v>148</v>
      </c>
      <c r="D21" s="10" t="s">
        <v>22</v>
      </c>
    </row>
    <row r="23" customFormat="false" ht="15" hidden="false" customHeight="false" outlineLevel="0" collapsed="false">
      <c r="A23" s="8" t="s">
        <v>149</v>
      </c>
    </row>
    <row r="24" customFormat="false" ht="15" hidden="false" customHeight="false" outlineLevel="0" collapsed="false">
      <c r="A24" s="9" t="s">
        <v>150</v>
      </c>
      <c r="B24" s="9" t="s">
        <v>151</v>
      </c>
      <c r="C24" s="9" t="s">
        <v>152</v>
      </c>
      <c r="D24" s="9" t="s">
        <v>11</v>
      </c>
    </row>
    <row r="25" customFormat="false" ht="15" hidden="false" customHeight="false" outlineLevel="0" collapsed="false">
      <c r="A25" s="4" t="s">
        <v>153</v>
      </c>
      <c r="B25" s="4" t="s">
        <v>154</v>
      </c>
      <c r="C25" s="4" t="s">
        <v>155</v>
      </c>
      <c r="D25" s="11" t="s">
        <v>50</v>
      </c>
    </row>
    <row r="26" customFormat="false" ht="15" hidden="false" customHeight="false" outlineLevel="0" collapsed="false">
      <c r="A26" s="4" t="s">
        <v>156</v>
      </c>
      <c r="B26" s="4" t="s">
        <v>157</v>
      </c>
      <c r="C26" s="4" t="s">
        <v>158</v>
      </c>
      <c r="D26" s="11" t="s">
        <v>50</v>
      </c>
    </row>
    <row r="27" customFormat="false" ht="15" hidden="false" customHeight="false" outlineLevel="0" collapsed="false">
      <c r="A27" s="4" t="s">
        <v>159</v>
      </c>
      <c r="B27" s="4" t="s">
        <v>160</v>
      </c>
      <c r="C27" s="4" t="s">
        <v>161</v>
      </c>
      <c r="D27" s="11" t="s">
        <v>50</v>
      </c>
    </row>
    <row r="28" customFormat="false" ht="15" hidden="false" customHeight="false" outlineLevel="0" collapsed="false">
      <c r="A28" s="4" t="s">
        <v>162</v>
      </c>
      <c r="B28" s="4" t="s">
        <v>163</v>
      </c>
      <c r="C28" s="4" t="s">
        <v>164</v>
      </c>
      <c r="D28" s="10" t="s">
        <v>22</v>
      </c>
    </row>
    <row r="30" customFormat="false" ht="15" hidden="false" customHeight="false" outlineLevel="0" collapsed="false">
      <c r="A30" s="8" t="s">
        <v>165</v>
      </c>
    </row>
    <row r="31" customFormat="false" ht="15" hidden="false" customHeight="false" outlineLevel="0" collapsed="false">
      <c r="A31" s="9" t="s">
        <v>150</v>
      </c>
      <c r="B31" s="9" t="s">
        <v>151</v>
      </c>
      <c r="C31" s="9" t="s">
        <v>152</v>
      </c>
      <c r="D31" s="9" t="s">
        <v>11</v>
      </c>
    </row>
    <row r="32" customFormat="false" ht="15" hidden="false" customHeight="false" outlineLevel="0" collapsed="false">
      <c r="A32" s="4" t="s">
        <v>166</v>
      </c>
      <c r="B32" s="4" t="s">
        <v>167</v>
      </c>
      <c r="C32" s="4" t="s">
        <v>168</v>
      </c>
      <c r="D32" s="10" t="s">
        <v>22</v>
      </c>
    </row>
    <row r="33" customFormat="false" ht="15" hidden="false" customHeight="false" outlineLevel="0" collapsed="false">
      <c r="A33" s="4" t="s">
        <v>169</v>
      </c>
      <c r="B33" s="4" t="s">
        <v>170</v>
      </c>
      <c r="C33" s="4" t="s">
        <v>171</v>
      </c>
      <c r="D33" s="10" t="s">
        <v>22</v>
      </c>
    </row>
    <row r="34" customFormat="false" ht="15" hidden="false" customHeight="false" outlineLevel="0" collapsed="false">
      <c r="A34" s="4" t="s">
        <v>172</v>
      </c>
      <c r="B34" s="4" t="n">
        <v>10000</v>
      </c>
      <c r="C34" s="4" t="s">
        <v>173</v>
      </c>
      <c r="D34" s="11" t="s">
        <v>50</v>
      </c>
    </row>
    <row r="35" customFormat="false" ht="15" hidden="false" customHeight="false" outlineLevel="0" collapsed="false">
      <c r="A35" s="4" t="s">
        <v>174</v>
      </c>
      <c r="B35" s="4" t="n">
        <v>20000</v>
      </c>
      <c r="C35" s="4" t="s">
        <v>175</v>
      </c>
      <c r="D35" s="11" t="s">
        <v>50</v>
      </c>
    </row>
    <row r="36" customFormat="false" ht="15" hidden="false" customHeight="false" outlineLevel="0" collapsed="false">
      <c r="A36" s="4" t="s">
        <v>176</v>
      </c>
      <c r="B36" s="4" t="s">
        <v>177</v>
      </c>
      <c r="C36" s="4" t="s">
        <v>178</v>
      </c>
      <c r="D36" s="11" t="s">
        <v>50</v>
      </c>
    </row>
    <row r="37" customFormat="false" ht="15" hidden="false" customHeight="false" outlineLevel="0" collapsed="false">
      <c r="A37" s="4" t="s">
        <v>179</v>
      </c>
      <c r="B37" s="4" t="s">
        <v>180</v>
      </c>
      <c r="C37" s="4" t="s">
        <v>181</v>
      </c>
      <c r="D37" s="10" t="s">
        <v>22</v>
      </c>
    </row>
    <row r="39" customFormat="false" ht="15" hidden="false" customHeight="false" outlineLevel="0" collapsed="false">
      <c r="A39" s="8" t="s">
        <v>182</v>
      </c>
    </row>
    <row r="40" customFormat="false" ht="15" hidden="false" customHeight="false" outlineLevel="0" collapsed="false">
      <c r="A40" s="9" t="s">
        <v>150</v>
      </c>
      <c r="B40" s="9" t="s">
        <v>151</v>
      </c>
      <c r="C40" s="9" t="s">
        <v>152</v>
      </c>
      <c r="D40" s="9" t="s">
        <v>11</v>
      </c>
    </row>
    <row r="41" customFormat="false" ht="15" hidden="false" customHeight="false" outlineLevel="0" collapsed="false">
      <c r="A41" s="4" t="s">
        <v>113</v>
      </c>
      <c r="B41" s="4" t="s">
        <v>119</v>
      </c>
      <c r="C41" s="4" t="s">
        <v>183</v>
      </c>
      <c r="D41" s="10" t="s">
        <v>22</v>
      </c>
    </row>
    <row r="42" customFormat="false" ht="15" hidden="false" customHeight="false" outlineLevel="0" collapsed="false">
      <c r="A42" s="4" t="s">
        <v>184</v>
      </c>
      <c r="B42" s="4" t="s">
        <v>120</v>
      </c>
      <c r="C42" s="4" t="s">
        <v>185</v>
      </c>
      <c r="D42" s="10" t="s">
        <v>22</v>
      </c>
    </row>
    <row r="43" customFormat="false" ht="15" hidden="false" customHeight="false" outlineLevel="0" collapsed="false">
      <c r="A43" s="4" t="s">
        <v>186</v>
      </c>
      <c r="B43" s="4" t="s">
        <v>187</v>
      </c>
      <c r="C43" s="4" t="s">
        <v>188</v>
      </c>
      <c r="D43" s="10" t="s">
        <v>22</v>
      </c>
    </row>
    <row r="45" customFormat="false" ht="15" hidden="false" customHeight="false" outlineLevel="0" collapsed="false">
      <c r="A45" s="8" t="s">
        <v>189</v>
      </c>
    </row>
    <row r="46" customFormat="false" ht="15" hidden="false" customHeight="false" outlineLevel="0" collapsed="false">
      <c r="A46" s="9" t="s">
        <v>190</v>
      </c>
      <c r="B46" s="9" t="s">
        <v>114</v>
      </c>
      <c r="C46" s="9" t="s">
        <v>191</v>
      </c>
      <c r="D46" s="9" t="s">
        <v>11</v>
      </c>
    </row>
    <row r="47" customFormat="false" ht="15" hidden="false" customHeight="false" outlineLevel="0" collapsed="false">
      <c r="A47" s="4" t="s">
        <v>192</v>
      </c>
      <c r="B47" s="4" t="s">
        <v>193</v>
      </c>
      <c r="C47" s="4" t="s">
        <v>194</v>
      </c>
      <c r="D47" s="10" t="s">
        <v>22</v>
      </c>
    </row>
    <row r="48" customFormat="false" ht="15" hidden="false" customHeight="false" outlineLevel="0" collapsed="false">
      <c r="A48" s="4" t="s">
        <v>195</v>
      </c>
      <c r="B48" s="4" t="s">
        <v>196</v>
      </c>
      <c r="C48" s="4" t="s">
        <v>194</v>
      </c>
      <c r="D48" s="10" t="s">
        <v>22</v>
      </c>
    </row>
    <row r="49" customFormat="false" ht="15" hidden="false" customHeight="false" outlineLevel="0" collapsed="false">
      <c r="A49" s="4" t="s">
        <v>197</v>
      </c>
      <c r="B49" s="4" t="s">
        <v>198</v>
      </c>
      <c r="C49" s="4" t="s">
        <v>194</v>
      </c>
      <c r="D49" s="10" t="s">
        <v>22</v>
      </c>
    </row>
    <row r="50" customFormat="false" ht="15" hidden="false" customHeight="false" outlineLevel="0" collapsed="false">
      <c r="A50" s="4" t="s">
        <v>199</v>
      </c>
      <c r="B50" s="4" t="s">
        <v>200</v>
      </c>
      <c r="C50" s="4" t="s">
        <v>194</v>
      </c>
      <c r="D50" s="10" t="s">
        <v>22</v>
      </c>
    </row>
    <row r="51" customFormat="false" ht="15" hidden="false" customHeight="false" outlineLevel="0" collapsed="false">
      <c r="A51" s="4" t="s">
        <v>201</v>
      </c>
      <c r="B51" s="4" t="s">
        <v>202</v>
      </c>
      <c r="C51" s="4" t="s">
        <v>194</v>
      </c>
      <c r="D51" s="10" t="s">
        <v>22</v>
      </c>
    </row>
    <row r="52" customFormat="false" ht="15" hidden="false" customHeight="false" outlineLevel="0" collapsed="false">
      <c r="A52" s="4" t="s">
        <v>203</v>
      </c>
      <c r="B52" s="4" t="s">
        <v>204</v>
      </c>
      <c r="C52" s="4" t="s">
        <v>194</v>
      </c>
      <c r="D52" s="1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205</v>
      </c>
    </row>
    <row r="3" customFormat="false" ht="15" hidden="false" customHeight="false" outlineLevel="0" collapsed="false">
      <c r="A3" s="12" t="s">
        <v>206</v>
      </c>
      <c r="B3" s="13" t="n">
        <f aca="false">COUNTA('Test Cases'!A5:A17)</f>
        <v>13</v>
      </c>
    </row>
    <row r="4" customFormat="false" ht="15" hidden="false" customHeight="false" outlineLevel="0" collapsed="false">
      <c r="A4" s="12" t="s">
        <v>14</v>
      </c>
      <c r="B4" s="13" t="n">
        <f aca="false">COUNTIF('Test Cases'!B5:B17,"Homepage")</f>
        <v>5</v>
      </c>
    </row>
    <row r="5" customFormat="false" ht="15" hidden="false" customHeight="false" outlineLevel="0" collapsed="false">
      <c r="A5" s="12" t="s">
        <v>53</v>
      </c>
      <c r="B5" s="13" t="n">
        <f aca="false">COUNTIF('Test Cases'!B5:B17,"Search")</f>
        <v>3</v>
      </c>
    </row>
    <row r="6" customFormat="false" ht="15" hidden="false" customHeight="false" outlineLevel="0" collapsed="false">
      <c r="A6" s="12" t="s">
        <v>75</v>
      </c>
      <c r="B6" s="13" t="n">
        <f aca="false">COUNTIF('Test Cases'!B5:B17,"Filter")</f>
        <v>3</v>
      </c>
    </row>
    <row r="7" customFormat="false" ht="15" hidden="false" customHeight="false" outlineLevel="0" collapsed="false">
      <c r="A7" s="12" t="s">
        <v>95</v>
      </c>
      <c r="B7" s="13" t="n">
        <f aca="false">COUNTIF('Test Cases'!B5:B17,"Navigation")</f>
        <v>1</v>
      </c>
    </row>
    <row r="8" customFormat="false" ht="15" hidden="false" customHeight="false" outlineLevel="0" collapsed="false">
      <c r="A8" s="12" t="s">
        <v>102</v>
      </c>
      <c r="B8" s="13" t="n">
        <f aca="false">COUNTIF('Test Cases'!B5:B17,"Footer")</f>
        <v>1</v>
      </c>
    </row>
    <row r="9" customFormat="false" ht="15" hidden="false" customHeight="false" outlineLevel="0" collapsed="false">
      <c r="A9" s="12" t="s">
        <v>207</v>
      </c>
      <c r="B9" s="13" t="n">
        <f aca="false">COUNTIF('Test Cases'!J5:J17,"Observed")</f>
        <v>6</v>
      </c>
    </row>
    <row r="10" customFormat="false" ht="15" hidden="false" customHeight="false" outlineLevel="0" collapsed="false">
      <c r="A10" s="12" t="s">
        <v>208</v>
      </c>
      <c r="B10" s="13" t="n">
        <f aca="false">COUNTIF('Test Cases'!J5:J17,"Mixed")</f>
        <v>2</v>
      </c>
    </row>
    <row r="11" customFormat="false" ht="15" hidden="false" customHeight="false" outlineLevel="0" collapsed="false">
      <c r="A11" s="12" t="s">
        <v>209</v>
      </c>
      <c r="B11" s="13" t="n">
        <f aca="false">COUNTIF('Test Cases'!J5:J17,"Assumption")</f>
        <v>5</v>
      </c>
    </row>
    <row r="12" customFormat="false" ht="15" hidden="false" customHeight="false" outlineLevel="0" collapsed="false">
      <c r="A12" s="12" t="s">
        <v>210</v>
      </c>
      <c r="B12" s="13" t="n">
        <f aca="false">COUNTIF('Test Cases'!D5:D17,"High")</f>
        <v>5</v>
      </c>
    </row>
    <row r="13" customFormat="false" ht="15" hidden="false" customHeight="false" outlineLevel="0" collapsed="false">
      <c r="A13" s="12" t="s">
        <v>211</v>
      </c>
      <c r="B13" s="13" t="n">
        <f aca="false">COUNTIF('Test Cases'!D5:D17,"Medium")</f>
        <v>7</v>
      </c>
    </row>
    <row r="14" customFormat="false" ht="15" hidden="false" customHeight="false" outlineLevel="0" collapsed="false">
      <c r="A14" s="12" t="s">
        <v>212</v>
      </c>
      <c r="B14" s="13" t="n">
        <f aca="false">COUNTIF('Test Cases'!D5:D17,"Low")</f>
        <v>1</v>
      </c>
    </row>
    <row r="15" customFormat="false" ht="15" hidden="false" customHeight="false" outlineLevel="0" collapsed="false">
      <c r="A15" s="14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2026-10-10T09:16:08Z</dcterms:created>
  <dc:creator>openpyxl</dc:creator>
  <dc:description/>
  <dc:language>en-US</dc:language>
  <cp:lastModifiedBy/>
  <dcterms:modified xsi:type="dcterms:W3CDTF">2026-10-10T09:16:08Z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